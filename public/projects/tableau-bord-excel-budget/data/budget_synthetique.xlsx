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<sst xmlns="http://schemas.openxmlformats.org/spreadsheetml/2006/main" count="80" uniqueCount="14">
  <si>
    <t>month</t>
  </si>
  <si>
    <t>line</t>
  </si>
  <si>
    <t>planned_usd</t>
  </si>
  <si>
    <t>actual_usd</t>
  </si>
  <si>
    <t>variance_usd</t>
  </si>
  <si>
    <t>execution_rate</t>
  </si>
  <si>
    <t>Personnel</t>
  </si>
  <si>
    <t>Transport</t>
  </si>
  <si>
    <t>Equipment</t>
  </si>
  <si>
    <t>Training</t>
  </si>
  <si>
    <t>Communication</t>
  </si>
  <si>
    <t>Other</t>
  </si>
  <si>
    <t>DONNÉES SYNTHÉTIQUES — jeu de démonstration, aucune donnée réelle.</t>
  </si>
  <si>
    <t>Variance = réalisé - prévu ; taux d'exécution = réalisé / prévu (colonnes calculées par formules).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</si>
</sst>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2">
    <dxf>
      <fill>
        <patternFill patternType="solid">
          <bgColor rgb="FFFDBA74"/>
        </patternFill>
      </fill>
    </dxf>
    <dxf>
      <fill>
        <patternFill patternType="solid">
          <bgColor rgb="FFBFDB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6" style="1" customWidth="1"/>
    <col min="6" max="6" width="16" style="2" customWidth="1"/>
  </cols>
  <sheetData>
    <row r="1" spans="1:6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25">
      <c r="A2">
        <v>1</v>
      </c>
      <c r="B2" t="s">
        <v>6</v>
      </c>
      <c r="C2" s="1">
        <v>9360</v>
      </c>
      <c r="D2" s="1">
        <v>10174</v>
      </c>
      <c r="E2" s="1">
        <f>IF(D2="","",D2-C2)</f>
      </c>
      <c r="F2" s="2">
        <f>IF(OR(D2="",C2=0),"",D2/C2)</f>
      </c>
    </row>
    <row r="3" spans="1:6" x14ac:dyDescent="0.25">
      <c r="A3">
        <v>2</v>
      </c>
      <c r="B3" t="s">
        <v>6</v>
      </c>
      <c r="C3" s="1">
        <v>9624</v>
      </c>
      <c r="D3" s="1">
        <v>10700</v>
      </c>
      <c r="E3" s="1">
        <f>IF(D3="","",D3-C3)</f>
      </c>
      <c r="F3" s="2">
        <f>IF(OR(D3="",C3=0),"",D3/C3)</f>
      </c>
    </row>
    <row r="4" spans="1:6" x14ac:dyDescent="0.25">
      <c r="A4">
        <v>3</v>
      </c>
      <c r="B4" t="s">
        <v>6</v>
      </c>
      <c r="C4" s="1">
        <v>9720</v>
      </c>
      <c r="D4" s="1">
        <v>9194</v>
      </c>
      <c r="E4" s="1">
        <f>IF(D4="","",D4-C4)</f>
      </c>
      <c r="F4" s="2">
        <f>IF(OR(D4="",C4=0),"",D4/C4)</f>
      </c>
    </row>
    <row r="5" spans="1:6" x14ac:dyDescent="0.25">
      <c r="A5">
        <v>4</v>
      </c>
      <c r="B5" t="s">
        <v>6</v>
      </c>
      <c r="C5" s="1">
        <v>9624</v>
      </c>
      <c r="D5" s="1">
        <v>10268</v>
      </c>
      <c r="E5" s="1">
        <f>IF(D5="","",D5-C5)</f>
      </c>
      <c r="F5" s="2">
        <f>IF(OR(D5="",C5=0),"",D5/C5)</f>
      </c>
    </row>
    <row r="6" spans="1:6" x14ac:dyDescent="0.25">
      <c r="A6">
        <v>5</v>
      </c>
      <c r="B6" t="s">
        <v>6</v>
      </c>
      <c r="C6" s="1">
        <v>9360</v>
      </c>
      <c r="D6" s="1">
        <v>8476</v>
      </c>
      <c r="E6" s="1">
        <f>IF(D6="","",D6-C6)</f>
      </c>
      <c r="F6" s="2">
        <f>IF(OR(D6="",C6=0),"",D6/C6)</f>
      </c>
    </row>
    <row r="7" spans="1:6" x14ac:dyDescent="0.25">
      <c r="A7">
        <v>6</v>
      </c>
      <c r="B7" t="s">
        <v>6</v>
      </c>
      <c r="C7" s="1">
        <v>9000</v>
      </c>
      <c r="D7" s="1">
        <v>9519</v>
      </c>
      <c r="E7" s="1">
        <f>IF(D7="","",D7-C7)</f>
      </c>
      <c r="F7" s="2">
        <f>IF(OR(D7="",C7=0),"",D7/C7)</f>
      </c>
    </row>
    <row r="8" spans="1:6" x14ac:dyDescent="0.25">
      <c r="A8">
        <v>7</v>
      </c>
      <c r="B8" t="s">
        <v>6</v>
      </c>
      <c r="C8" s="1">
        <v>8640</v>
      </c>
      <c r="D8" s="1">
        <v>9470</v>
      </c>
      <c r="E8" s="1">
        <f>IF(D8="","",D8-C8)</f>
      </c>
      <c r="F8" s="2">
        <f>IF(OR(D8="",C8=0),"",D8/C8)</f>
      </c>
    </row>
    <row r="9" spans="1:6" x14ac:dyDescent="0.25">
      <c r="A9">
        <v>8</v>
      </c>
      <c r="B9" t="s">
        <v>6</v>
      </c>
      <c r="C9" s="1">
        <v>8376</v>
      </c>
      <c r="D9" s="1">
        <v>8522</v>
      </c>
      <c r="E9" s="1">
        <f>IF(D9="","",D9-C9)</f>
      </c>
      <c r="F9" s="2">
        <f>IF(OR(D9="",C9=0),"",D9/C9)</f>
      </c>
    </row>
    <row r="10" spans="1:6" x14ac:dyDescent="0.25">
      <c r="A10">
        <v>9</v>
      </c>
      <c r="B10" t="s">
        <v>6</v>
      </c>
      <c r="C10" s="1">
        <v>8280</v>
      </c>
      <c r="D10" s="1">
        <v>9536</v>
      </c>
      <c r="E10" s="1">
        <f>IF(D10="","",D10-C10)</f>
      </c>
      <c r="F10" s="2">
        <f>IF(OR(D10="",C10=0),"",D10/C10)</f>
      </c>
    </row>
    <row r="11" spans="1:6" x14ac:dyDescent="0.25">
      <c r="A11">
        <v>10</v>
      </c>
      <c r="B11" t="s">
        <v>6</v>
      </c>
      <c r="C11" s="1">
        <v>8376</v>
      </c>
      <c r="D11" s="1"/>
      <c r="E11" s="1">
        <f>IF(D11="","",D11-C11)</f>
      </c>
      <c r="F11" s="2">
        <f>IF(OR(D11="",C11=0),"",D11/C11)</f>
      </c>
    </row>
    <row r="12" spans="1:6" x14ac:dyDescent="0.25">
      <c r="A12">
        <v>11</v>
      </c>
      <c r="B12" t="s">
        <v>6</v>
      </c>
      <c r="C12" s="1">
        <v>8640</v>
      </c>
      <c r="D12" s="1"/>
      <c r="E12" s="1">
        <f>IF(D12="","",D12-C12)</f>
      </c>
      <c r="F12" s="2">
        <f>IF(OR(D12="",C12=0),"",D12/C12)</f>
      </c>
    </row>
    <row r="13" spans="1:6" x14ac:dyDescent="0.25">
      <c r="A13">
        <v>12</v>
      </c>
      <c r="B13" t="s">
        <v>6</v>
      </c>
      <c r="C13" s="1">
        <v>9000</v>
      </c>
      <c r="D13" s="1"/>
      <c r="E13" s="1">
        <f>IF(D13="","",D13-C13)</f>
      </c>
      <c r="F13" s="2">
        <f>IF(OR(D13="",C13=0),"",D13/C13)</f>
      </c>
    </row>
    <row r="14" spans="1:6" x14ac:dyDescent="0.25">
      <c r="A14">
        <v>1</v>
      </c>
      <c r="B14" t="s">
        <v>7</v>
      </c>
      <c r="C14" s="1">
        <v>3328</v>
      </c>
      <c r="D14" s="1">
        <v>3158</v>
      </c>
      <c r="E14" s="1">
        <f>IF(D14="","",D14-C14)</f>
      </c>
      <c r="F14" s="2">
        <f>IF(OR(D14="",C14=0),"",D14/C14)</f>
      </c>
    </row>
    <row r="15" spans="1:6" x14ac:dyDescent="0.25">
      <c r="A15">
        <v>2</v>
      </c>
      <c r="B15" t="s">
        <v>7</v>
      </c>
      <c r="C15" s="1">
        <v>3422</v>
      </c>
      <c r="D15" s="1">
        <v>3812</v>
      </c>
      <c r="E15" s="1">
        <f>IF(D15="","",D15-C15)</f>
      </c>
      <c r="F15" s="2">
        <f>IF(OR(D15="",C15=0),"",D15/C15)</f>
      </c>
    </row>
    <row r="16" spans="1:6" x14ac:dyDescent="0.25">
      <c r="A16">
        <v>3</v>
      </c>
      <c r="B16" t="s">
        <v>7</v>
      </c>
      <c r="C16" s="1">
        <v>3456</v>
      </c>
      <c r="D16" s="1">
        <v>3809</v>
      </c>
      <c r="E16" s="1">
        <f>IF(D16="","",D16-C16)</f>
      </c>
      <c r="F16" s="2">
        <f>IF(OR(D16="",C16=0),"",D16/C16)</f>
      </c>
    </row>
    <row r="17" spans="1:6" x14ac:dyDescent="0.25">
      <c r="A17">
        <v>4</v>
      </c>
      <c r="B17" t="s">
        <v>7</v>
      </c>
      <c r="C17" s="1">
        <v>3422</v>
      </c>
      <c r="D17" s="1">
        <v>3689</v>
      </c>
      <c r="E17" s="1">
        <f>IF(D17="","",D17-C17)</f>
      </c>
      <c r="F17" s="2">
        <f>IF(OR(D17="",C17=0),"",D17/C17)</f>
      </c>
    </row>
    <row r="18" spans="1:6" x14ac:dyDescent="0.25">
      <c r="A18">
        <v>5</v>
      </c>
      <c r="B18" t="s">
        <v>7</v>
      </c>
      <c r="C18" s="1">
        <v>3328</v>
      </c>
      <c r="D18" s="1">
        <v>2942</v>
      </c>
      <c r="E18" s="1">
        <f>IF(D18="","",D18-C18)</f>
      </c>
      <c r="F18" s="2">
        <f>IF(OR(D18="",C18=0),"",D18/C18)</f>
      </c>
    </row>
    <row r="19" spans="1:6" x14ac:dyDescent="0.25">
      <c r="A19">
        <v>6</v>
      </c>
      <c r="B19" t="s">
        <v>7</v>
      </c>
      <c r="C19" s="1">
        <v>3200</v>
      </c>
      <c r="D19" s="1">
        <v>3263</v>
      </c>
      <c r="E19" s="1">
        <f>IF(D19="","",D19-C19)</f>
      </c>
      <c r="F19" s="2">
        <f>IF(OR(D19="",C19=0),"",D19/C19)</f>
      </c>
    </row>
    <row r="20" spans="1:6" x14ac:dyDescent="0.25">
      <c r="A20">
        <v>7</v>
      </c>
      <c r="B20" t="s">
        <v>7</v>
      </c>
      <c r="C20" s="1">
        <v>3072</v>
      </c>
      <c r="D20" s="1">
        <v>2980</v>
      </c>
      <c r="E20" s="1">
        <f>IF(D20="","",D20-C20)</f>
      </c>
      <c r="F20" s="2">
        <f>IF(OR(D20="",C20=0),"",D20/C20)</f>
      </c>
    </row>
    <row r="21" spans="1:6" x14ac:dyDescent="0.25">
      <c r="A21">
        <v>8</v>
      </c>
      <c r="B21" t="s">
        <v>7</v>
      </c>
      <c r="C21" s="1">
        <v>2978</v>
      </c>
      <c r="D21" s="1">
        <v>3422</v>
      </c>
      <c r="E21" s="1">
        <f>IF(D21="","",D21-C21)</f>
      </c>
      <c r="F21" s="2">
        <f>IF(OR(D21="",C21=0),"",D21/C21)</f>
      </c>
    </row>
    <row r="22" spans="1:6" x14ac:dyDescent="0.25">
      <c r="A22">
        <v>9</v>
      </c>
      <c r="B22" t="s">
        <v>7</v>
      </c>
      <c r="C22" s="1">
        <v>2944</v>
      </c>
      <c r="D22" s="1">
        <v>2845</v>
      </c>
      <c r="E22" s="1">
        <f>IF(D22="","",D22-C22)</f>
      </c>
      <c r="F22" s="2">
        <f>IF(OR(D22="",C22=0),"",D22/C22)</f>
      </c>
    </row>
    <row r="23" spans="1:6" x14ac:dyDescent="0.25">
      <c r="A23">
        <v>10</v>
      </c>
      <c r="B23" t="s">
        <v>7</v>
      </c>
      <c r="C23" s="1">
        <v>2978</v>
      </c>
      <c r="D23" s="1"/>
      <c r="E23" s="1">
        <f>IF(D23="","",D23-C23)</f>
      </c>
      <c r="F23" s="2">
        <f>IF(OR(D23="",C23=0),"",D23/C23)</f>
      </c>
    </row>
    <row r="24" spans="1:6" x14ac:dyDescent="0.25">
      <c r="A24">
        <v>11</v>
      </c>
      <c r="B24" t="s">
        <v>7</v>
      </c>
      <c r="C24" s="1">
        <v>3072</v>
      </c>
      <c r="D24" s="1"/>
      <c r="E24" s="1">
        <f>IF(D24="","",D24-C24)</f>
      </c>
      <c r="F24" s="2">
        <f>IF(OR(D24="",C24=0),"",D24/C24)</f>
      </c>
    </row>
    <row r="25" spans="1:6" x14ac:dyDescent="0.25">
      <c r="A25">
        <v>12</v>
      </c>
      <c r="B25" t="s">
        <v>7</v>
      </c>
      <c r="C25" s="1">
        <v>3200</v>
      </c>
      <c r="D25" s="1"/>
      <c r="E25" s="1">
        <f>IF(D25="","",D25-C25)</f>
      </c>
      <c r="F25" s="2">
        <f>IF(OR(D25="",C25=0),"",D25/C25)</f>
      </c>
    </row>
    <row r="26" spans="1:6" x14ac:dyDescent="0.25">
      <c r="A26">
        <v>1</v>
      </c>
      <c r="B26" t="s">
        <v>8</v>
      </c>
      <c r="C26" s="1">
        <v>4680</v>
      </c>
      <c r="D26" s="1">
        <v>5179</v>
      </c>
      <c r="E26" s="1">
        <f>IF(D26="","",D26-C26)</f>
      </c>
      <c r="F26" s="2">
        <f>IF(OR(D26="",C26=0),"",D26/C26)</f>
      </c>
    </row>
    <row r="27" spans="1:6" x14ac:dyDescent="0.25">
      <c r="A27">
        <v>2</v>
      </c>
      <c r="B27" t="s">
        <v>8</v>
      </c>
      <c r="C27" s="1">
        <v>4812</v>
      </c>
      <c r="D27" s="1">
        <v>5279</v>
      </c>
      <c r="E27" s="1">
        <f>IF(D27="","",D27-C27)</f>
      </c>
      <c r="F27" s="2">
        <f>IF(OR(D27="",C27=0),"",D27/C27)</f>
      </c>
    </row>
    <row r="28" spans="1:6" x14ac:dyDescent="0.25">
      <c r="A28">
        <v>3</v>
      </c>
      <c r="B28" t="s">
        <v>8</v>
      </c>
      <c r="C28" s="1">
        <v>4860</v>
      </c>
      <c r="D28" s="1">
        <v>4647</v>
      </c>
      <c r="E28" s="1">
        <f>IF(D28="","",D28-C28)</f>
      </c>
      <c r="F28" s="2">
        <f>IF(OR(D28="",C28=0),"",D28/C28)</f>
      </c>
    </row>
    <row r="29" spans="1:6" x14ac:dyDescent="0.25">
      <c r="A29">
        <v>4</v>
      </c>
      <c r="B29" t="s">
        <v>8</v>
      </c>
      <c r="C29" s="1">
        <v>4812</v>
      </c>
      <c r="D29" s="1">
        <v>4262</v>
      </c>
      <c r="E29" s="1">
        <f>IF(D29="","",D29-C29)</f>
      </c>
      <c r="F29" s="2">
        <f>IF(OR(D29="",C29=0),"",D29/C29)</f>
      </c>
    </row>
    <row r="30" spans="1:6" x14ac:dyDescent="0.25">
      <c r="A30">
        <v>5</v>
      </c>
      <c r="B30" t="s">
        <v>8</v>
      </c>
      <c r="C30" s="1">
        <v>4680</v>
      </c>
      <c r="D30" s="1">
        <v>5232</v>
      </c>
      <c r="E30" s="1">
        <f>IF(D30="","",D30-C30)</f>
      </c>
      <c r="F30" s="2">
        <f>IF(OR(D30="",C30=0),"",D30/C30)</f>
      </c>
    </row>
    <row r="31" spans="1:6" x14ac:dyDescent="0.25">
      <c r="A31">
        <v>6</v>
      </c>
      <c r="B31" t="s">
        <v>8</v>
      </c>
      <c r="C31" s="1">
        <v>4500</v>
      </c>
      <c r="D31" s="1">
        <v>4241</v>
      </c>
      <c r="E31" s="1">
        <f>IF(D31="","",D31-C31)</f>
      </c>
      <c r="F31" s="2">
        <f>IF(OR(D31="",C31=0),"",D31/C31)</f>
      </c>
    </row>
    <row r="32" spans="1:6" x14ac:dyDescent="0.25">
      <c r="A32">
        <v>7</v>
      </c>
      <c r="B32" t="s">
        <v>8</v>
      </c>
      <c r="C32" s="1">
        <v>4320</v>
      </c>
      <c r="D32" s="1">
        <v>4155</v>
      </c>
      <c r="E32" s="1">
        <f>IF(D32="","",D32-C32)</f>
      </c>
      <c r="F32" s="2">
        <f>IF(OR(D32="",C32=0),"",D32/C32)</f>
      </c>
    </row>
    <row r="33" spans="1:6" x14ac:dyDescent="0.25">
      <c r="A33">
        <v>8</v>
      </c>
      <c r="B33" t="s">
        <v>8</v>
      </c>
      <c r="C33" s="1">
        <v>4188</v>
      </c>
      <c r="D33" s="1">
        <v>3840</v>
      </c>
      <c r="E33" s="1">
        <f>IF(D33="","",D33-C33)</f>
      </c>
      <c r="F33" s="2">
        <f>IF(OR(D33="",C33=0),"",D33/C33)</f>
      </c>
    </row>
    <row r="34" spans="1:6" x14ac:dyDescent="0.25">
      <c r="A34">
        <v>9</v>
      </c>
      <c r="B34" t="s">
        <v>8</v>
      </c>
      <c r="C34" s="1">
        <v>4140</v>
      </c>
      <c r="D34" s="1">
        <v>4227</v>
      </c>
      <c r="E34" s="1">
        <f>IF(D34="","",D34-C34)</f>
      </c>
      <c r="F34" s="2">
        <f>IF(OR(D34="",C34=0),"",D34/C34)</f>
      </c>
    </row>
    <row r="35" spans="1:6" x14ac:dyDescent="0.25">
      <c r="A35">
        <v>10</v>
      </c>
      <c r="B35" t="s">
        <v>8</v>
      </c>
      <c r="C35" s="1">
        <v>4188</v>
      </c>
      <c r="D35" s="1"/>
      <c r="E35" s="1">
        <f>IF(D35="","",D35-C35)</f>
      </c>
      <c r="F35" s="2">
        <f>IF(OR(D35="",C35=0),"",D35/C35)</f>
      </c>
    </row>
    <row r="36" spans="1:6" x14ac:dyDescent="0.25">
      <c r="A36">
        <v>11</v>
      </c>
      <c r="B36" t="s">
        <v>8</v>
      </c>
      <c r="C36" s="1">
        <v>4320</v>
      </c>
      <c r="D36" s="1"/>
      <c r="E36" s="1">
        <f>IF(D36="","",D36-C36)</f>
      </c>
      <c r="F36" s="2">
        <f>IF(OR(D36="",C36=0),"",D36/C36)</f>
      </c>
    </row>
    <row r="37" spans="1:6" x14ac:dyDescent="0.25">
      <c r="A37">
        <v>12</v>
      </c>
      <c r="B37" t="s">
        <v>8</v>
      </c>
      <c r="C37" s="1">
        <v>4500</v>
      </c>
      <c r="D37" s="1"/>
      <c r="E37" s="1">
        <f>IF(D37="","",D37-C37)</f>
      </c>
      <c r="F37" s="2">
        <f>IF(OR(D37="",C37=0),"",D37/C37)</f>
      </c>
    </row>
    <row r="38" spans="1:6" x14ac:dyDescent="0.25">
      <c r="A38">
        <v>1</v>
      </c>
      <c r="B38" t="s">
        <v>9</v>
      </c>
      <c r="C38" s="1">
        <v>2704</v>
      </c>
      <c r="D38" s="1">
        <v>3184</v>
      </c>
      <c r="E38" s="1">
        <f>IF(D38="","",D38-C38)</f>
      </c>
      <c r="F38" s="2">
        <f>IF(OR(D38="",C38=0),"",D38/C38)</f>
      </c>
    </row>
    <row r="39" spans="1:6" x14ac:dyDescent="0.25">
      <c r="A39">
        <v>2</v>
      </c>
      <c r="B39" t="s">
        <v>9</v>
      </c>
      <c r="C39" s="1">
        <v>2780</v>
      </c>
      <c r="D39" s="1">
        <v>2651</v>
      </c>
      <c r="E39" s="1">
        <f>IF(D39="","",D39-C39)</f>
      </c>
      <c r="F39" s="2">
        <f>IF(OR(D39="",C39=0),"",D39/C39)</f>
      </c>
    </row>
    <row r="40" spans="1:6" x14ac:dyDescent="0.25">
      <c r="A40">
        <v>3</v>
      </c>
      <c r="B40" t="s">
        <v>9</v>
      </c>
      <c r="C40" s="1">
        <v>2808</v>
      </c>
      <c r="D40" s="1">
        <v>2539</v>
      </c>
      <c r="E40" s="1">
        <f>IF(D40="","",D40-C40)</f>
      </c>
      <c r="F40" s="2">
        <f>IF(OR(D40="",C40=0),"",D40/C40)</f>
      </c>
    </row>
    <row r="41" spans="1:6" x14ac:dyDescent="0.25">
      <c r="A41">
        <v>4</v>
      </c>
      <c r="B41" t="s">
        <v>9</v>
      </c>
      <c r="C41" s="1">
        <v>2780</v>
      </c>
      <c r="D41" s="1">
        <v>3154</v>
      </c>
      <c r="E41" s="1">
        <f>IF(D41="","",D41-C41)</f>
      </c>
      <c r="F41" s="2">
        <f>IF(OR(D41="",C41=0),"",D41/C41)</f>
      </c>
    </row>
    <row r="42" spans="1:6" x14ac:dyDescent="0.25">
      <c r="A42">
        <v>5</v>
      </c>
      <c r="B42" t="s">
        <v>9</v>
      </c>
      <c r="C42" s="1">
        <v>2704</v>
      </c>
      <c r="D42" s="1">
        <v>2637</v>
      </c>
      <c r="E42" s="1">
        <f>IF(D42="","",D42-C42)</f>
      </c>
      <c r="F42" s="2">
        <f>IF(OR(D42="",C42=0),"",D42/C42)</f>
      </c>
    </row>
    <row r="43" spans="1:6" x14ac:dyDescent="0.25">
      <c r="A43">
        <v>6</v>
      </c>
      <c r="B43" t="s">
        <v>9</v>
      </c>
      <c r="C43" s="1">
        <v>2600</v>
      </c>
      <c r="D43" s="1">
        <v>2606</v>
      </c>
      <c r="E43" s="1">
        <f>IF(D43="","",D43-C43)</f>
      </c>
      <c r="F43" s="2">
        <f>IF(OR(D43="",C43=0),"",D43/C43)</f>
      </c>
    </row>
    <row r="44" spans="1:6" x14ac:dyDescent="0.25">
      <c r="A44">
        <v>7</v>
      </c>
      <c r="B44" t="s">
        <v>9</v>
      </c>
      <c r="C44" s="1">
        <v>2496</v>
      </c>
      <c r="D44" s="1">
        <v>2935</v>
      </c>
      <c r="E44" s="1">
        <f>IF(D44="","",D44-C44)</f>
      </c>
      <c r="F44" s="2">
        <f>IF(OR(D44="",C44=0),"",D44/C44)</f>
      </c>
    </row>
    <row r="45" spans="1:6" x14ac:dyDescent="0.25">
      <c r="A45">
        <v>8</v>
      </c>
      <c r="B45" t="s">
        <v>9</v>
      </c>
      <c r="C45" s="1">
        <v>2420</v>
      </c>
      <c r="D45" s="1">
        <v>2327</v>
      </c>
      <c r="E45" s="1">
        <f>IF(D45="","",D45-C45)</f>
      </c>
      <c r="F45" s="2">
        <f>IF(OR(D45="",C45=0),"",D45/C45)</f>
      </c>
    </row>
    <row r="46" spans="1:6" x14ac:dyDescent="0.25">
      <c r="A46">
        <v>9</v>
      </c>
      <c r="B46" t="s">
        <v>9</v>
      </c>
      <c r="C46" s="1">
        <v>2392</v>
      </c>
      <c r="D46" s="1">
        <v>2382</v>
      </c>
      <c r="E46" s="1">
        <f>IF(D46="","",D46-C46)</f>
      </c>
      <c r="F46" s="2">
        <f>IF(OR(D46="",C46=0),"",D46/C46)</f>
      </c>
    </row>
    <row r="47" spans="1:6" x14ac:dyDescent="0.25">
      <c r="A47">
        <v>10</v>
      </c>
      <c r="B47" t="s">
        <v>9</v>
      </c>
      <c r="C47" s="1">
        <v>2420</v>
      </c>
      <c r="D47" s="1"/>
      <c r="E47" s="1">
        <f>IF(D47="","",D47-C47)</f>
      </c>
      <c r="F47" s="2">
        <f>IF(OR(D47="",C47=0),"",D47/C47)</f>
      </c>
    </row>
    <row r="48" spans="1:6" x14ac:dyDescent="0.25">
      <c r="A48">
        <v>11</v>
      </c>
      <c r="B48" t="s">
        <v>9</v>
      </c>
      <c r="C48" s="1">
        <v>2496</v>
      </c>
      <c r="D48" s="1"/>
      <c r="E48" s="1">
        <f>IF(D48="","",D48-C48)</f>
      </c>
      <c r="F48" s="2">
        <f>IF(OR(D48="",C48=0),"",D48/C48)</f>
      </c>
    </row>
    <row r="49" spans="1:6" x14ac:dyDescent="0.25">
      <c r="A49">
        <v>12</v>
      </c>
      <c r="B49" t="s">
        <v>9</v>
      </c>
      <c r="C49" s="1">
        <v>2600</v>
      </c>
      <c r="D49" s="1"/>
      <c r="E49" s="1">
        <f>IF(D49="","",D49-C49)</f>
      </c>
      <c r="F49" s="2">
        <f>IF(OR(D49="",C49=0),"",D49/C49)</f>
      </c>
    </row>
    <row r="50" spans="1:6" x14ac:dyDescent="0.25">
      <c r="A50">
        <v>1</v>
      </c>
      <c r="B50" t="s">
        <v>10</v>
      </c>
      <c r="C50" s="1">
        <v>1560</v>
      </c>
      <c r="D50" s="1">
        <v>1474</v>
      </c>
      <c r="E50" s="1">
        <f>IF(D50="","",D50-C50)</f>
      </c>
      <c r="F50" s="2">
        <f>IF(OR(D50="",C50=0),"",D50/C50)</f>
      </c>
    </row>
    <row r="51" spans="1:6" x14ac:dyDescent="0.25">
      <c r="A51">
        <v>2</v>
      </c>
      <c r="B51" t="s">
        <v>10</v>
      </c>
      <c r="C51" s="1">
        <v>1604</v>
      </c>
      <c r="D51" s="1">
        <v>1830</v>
      </c>
      <c r="E51" s="1">
        <f>IF(D51="","",D51-C51)</f>
      </c>
      <c r="F51" s="2">
        <f>IF(OR(D51="",C51=0),"",D51/C51)</f>
      </c>
    </row>
    <row r="52" spans="1:6" x14ac:dyDescent="0.25">
      <c r="A52">
        <v>3</v>
      </c>
      <c r="B52" t="s">
        <v>10</v>
      </c>
      <c r="C52" s="1">
        <v>1620</v>
      </c>
      <c r="D52" s="1">
        <v>1777</v>
      </c>
      <c r="E52" s="1">
        <f>IF(D52="","",D52-C52)</f>
      </c>
      <c r="F52" s="2">
        <f>IF(OR(D52="",C52=0),"",D52/C52)</f>
      </c>
    </row>
    <row r="53" spans="1:6" x14ac:dyDescent="0.25">
      <c r="A53">
        <v>4</v>
      </c>
      <c r="B53" t="s">
        <v>10</v>
      </c>
      <c r="C53" s="1">
        <v>1604</v>
      </c>
      <c r="D53" s="1">
        <v>1834</v>
      </c>
      <c r="E53" s="1">
        <f>IF(D53="","",D53-C53)</f>
      </c>
      <c r="F53" s="2">
        <f>IF(OR(D53="",C53=0),"",D53/C53)</f>
      </c>
    </row>
    <row r="54" spans="1:6" x14ac:dyDescent="0.25">
      <c r="A54">
        <v>5</v>
      </c>
      <c r="B54" t="s">
        <v>10</v>
      </c>
      <c r="C54" s="1">
        <v>1560</v>
      </c>
      <c r="D54" s="1">
        <v>1612</v>
      </c>
      <c r="E54" s="1">
        <f>IF(D54="","",D54-C54)</f>
      </c>
      <c r="F54" s="2">
        <f>IF(OR(D54="",C54=0),"",D54/C54)</f>
      </c>
    </row>
    <row r="55" spans="1:6" x14ac:dyDescent="0.25">
      <c r="A55">
        <v>6</v>
      </c>
      <c r="B55" t="s">
        <v>10</v>
      </c>
      <c r="C55" s="1">
        <v>1500</v>
      </c>
      <c r="D55" s="1">
        <v>1682</v>
      </c>
      <c r="E55" s="1">
        <f>IF(D55="","",D55-C55)</f>
      </c>
      <c r="F55" s="2">
        <f>IF(OR(D55="",C55=0),"",D55/C55)</f>
      </c>
    </row>
    <row r="56" spans="1:6" x14ac:dyDescent="0.25">
      <c r="A56">
        <v>7</v>
      </c>
      <c r="B56" t="s">
        <v>10</v>
      </c>
      <c r="C56" s="1">
        <v>1440</v>
      </c>
      <c r="D56" s="1">
        <v>1548</v>
      </c>
      <c r="E56" s="1">
        <f>IF(D56="","",D56-C56)</f>
      </c>
      <c r="F56" s="2">
        <f>IF(OR(D56="",C56=0),"",D56/C56)</f>
      </c>
    </row>
    <row r="57" spans="1:6" x14ac:dyDescent="0.25">
      <c r="A57">
        <v>8</v>
      </c>
      <c r="B57" t="s">
        <v>10</v>
      </c>
      <c r="C57" s="1">
        <v>1396</v>
      </c>
      <c r="D57" s="1">
        <v>1287</v>
      </c>
      <c r="E57" s="1">
        <f>IF(D57="","",D57-C57)</f>
      </c>
      <c r="F57" s="2">
        <f>IF(OR(D57="",C57=0),"",D57/C57)</f>
      </c>
    </row>
    <row r="58" spans="1:6" x14ac:dyDescent="0.25">
      <c r="A58">
        <v>9</v>
      </c>
      <c r="B58" t="s">
        <v>10</v>
      </c>
      <c r="C58" s="1">
        <v>1380</v>
      </c>
      <c r="D58" s="1">
        <v>1478</v>
      </c>
      <c r="E58" s="1">
        <f>IF(D58="","",D58-C58)</f>
      </c>
      <c r="F58" s="2">
        <f>IF(OR(D58="",C58=0),"",D58/C58)</f>
      </c>
    </row>
    <row r="59" spans="1:6" x14ac:dyDescent="0.25">
      <c r="A59">
        <v>10</v>
      </c>
      <c r="B59" t="s">
        <v>10</v>
      </c>
      <c r="C59" s="1">
        <v>1396</v>
      </c>
      <c r="D59" s="1"/>
      <c r="E59" s="1">
        <f>IF(D59="","",D59-C59)</f>
      </c>
      <c r="F59" s="2">
        <f>IF(OR(D59="",C59=0),"",D59/C59)</f>
      </c>
    </row>
    <row r="60" spans="1:6" x14ac:dyDescent="0.25">
      <c r="A60">
        <v>11</v>
      </c>
      <c r="B60" t="s">
        <v>10</v>
      </c>
      <c r="C60" s="1">
        <v>1440</v>
      </c>
      <c r="D60" s="1"/>
      <c r="E60" s="1">
        <f>IF(D60="","",D60-C60)</f>
      </c>
      <c r="F60" s="2">
        <f>IF(OR(D60="",C60=0),"",D60/C60)</f>
      </c>
    </row>
    <row r="61" spans="1:6" x14ac:dyDescent="0.25">
      <c r="A61">
        <v>12</v>
      </c>
      <c r="B61" t="s">
        <v>10</v>
      </c>
      <c r="C61" s="1">
        <v>1500</v>
      </c>
      <c r="D61" s="1"/>
      <c r="E61" s="1">
        <f>IF(D61="","",D61-C61)</f>
      </c>
      <c r="F61" s="2">
        <f>IF(OR(D61="",C61=0),"",D61/C61)</f>
      </c>
    </row>
    <row r="62" spans="1:6" x14ac:dyDescent="0.25">
      <c r="A62">
        <v>1</v>
      </c>
      <c r="B62" t="s">
        <v>11</v>
      </c>
      <c r="C62" s="1">
        <v>1144</v>
      </c>
      <c r="D62" s="1">
        <v>1205</v>
      </c>
      <c r="E62" s="1">
        <f>IF(D62="","",D62-C62)</f>
      </c>
      <c r="F62" s="2">
        <f>IF(OR(D62="",C62=0),"",D62/C62)</f>
      </c>
    </row>
    <row r="63" spans="1:6" x14ac:dyDescent="0.25">
      <c r="A63">
        <v>2</v>
      </c>
      <c r="B63" t="s">
        <v>11</v>
      </c>
      <c r="C63" s="1">
        <v>1176</v>
      </c>
      <c r="D63" s="1">
        <v>1146</v>
      </c>
      <c r="E63" s="1">
        <f>IF(D63="","",D63-C63)</f>
      </c>
      <c r="F63" s="2">
        <f>IF(OR(D63="",C63=0),"",D63/C63)</f>
      </c>
    </row>
    <row r="64" spans="1:6" x14ac:dyDescent="0.25">
      <c r="A64">
        <v>3</v>
      </c>
      <c r="B64" t="s">
        <v>11</v>
      </c>
      <c r="C64" s="1">
        <v>1188</v>
      </c>
      <c r="D64" s="1">
        <v>1323</v>
      </c>
      <c r="E64" s="1">
        <f>IF(D64="","",D64-C64)</f>
      </c>
      <c r="F64" s="2">
        <f>IF(OR(D64="",C64=0),"",D64/C64)</f>
      </c>
    </row>
    <row r="65" spans="1:6" x14ac:dyDescent="0.25">
      <c r="A65">
        <v>4</v>
      </c>
      <c r="B65" t="s">
        <v>11</v>
      </c>
      <c r="C65" s="1">
        <v>1176</v>
      </c>
      <c r="D65" s="1">
        <v>1250</v>
      </c>
      <c r="E65" s="1">
        <f>IF(D65="","",D65-C65)</f>
      </c>
      <c r="F65" s="2">
        <f>IF(OR(D65="",C65=0),"",D65/C65)</f>
      </c>
    </row>
    <row r="66" spans="1:6" x14ac:dyDescent="0.25">
      <c r="A66">
        <v>5</v>
      </c>
      <c r="B66" t="s">
        <v>11</v>
      </c>
      <c r="C66" s="1">
        <v>1144</v>
      </c>
      <c r="D66" s="1">
        <v>1010</v>
      </c>
      <c r="E66" s="1">
        <f>IF(D66="","",D66-C66)</f>
      </c>
      <c r="F66" s="2">
        <f>IF(OR(D66="",C66=0),"",D66/C66)</f>
      </c>
    </row>
    <row r="67" spans="1:6" x14ac:dyDescent="0.25">
      <c r="A67">
        <v>6</v>
      </c>
      <c r="B67" t="s">
        <v>11</v>
      </c>
      <c r="C67" s="1">
        <v>1100</v>
      </c>
      <c r="D67" s="1">
        <v>1276</v>
      </c>
      <c r="E67" s="1">
        <f>IF(D67="","",D67-C67)</f>
      </c>
      <c r="F67" s="2">
        <f>IF(OR(D67="",C67=0),"",D67/C67)</f>
      </c>
    </row>
    <row r="68" spans="1:6" x14ac:dyDescent="0.25">
      <c r="A68">
        <v>7</v>
      </c>
      <c r="B68" t="s">
        <v>11</v>
      </c>
      <c r="C68" s="1">
        <v>1056</v>
      </c>
      <c r="D68" s="1">
        <v>1037</v>
      </c>
      <c r="E68" s="1">
        <f>IF(D68="","",D68-C68)</f>
      </c>
      <c r="F68" s="2">
        <f>IF(OR(D68="",C68=0),"",D68/C68)</f>
      </c>
    </row>
    <row r="69" spans="1:6" x14ac:dyDescent="0.25">
      <c r="A69">
        <v>8</v>
      </c>
      <c r="B69" t="s">
        <v>11</v>
      </c>
      <c r="C69" s="1">
        <v>1024</v>
      </c>
      <c r="D69" s="1">
        <v>1009</v>
      </c>
      <c r="E69" s="1">
        <f>IF(D69="","",D69-C69)</f>
      </c>
      <c r="F69" s="2">
        <f>IF(OR(D69="",C69=0),"",D69/C69)</f>
      </c>
    </row>
    <row r="70" spans="1:6" x14ac:dyDescent="0.25">
      <c r="A70">
        <v>9</v>
      </c>
      <c r="B70" t="s">
        <v>11</v>
      </c>
      <c r="C70" s="1">
        <v>1012</v>
      </c>
      <c r="D70" s="1">
        <v>1156</v>
      </c>
      <c r="E70" s="1">
        <f>IF(D70="","",D70-C70)</f>
      </c>
      <c r="F70" s="2">
        <f>IF(OR(D70="",C70=0),"",D70/C70)</f>
      </c>
    </row>
    <row r="71" spans="1:6" x14ac:dyDescent="0.25">
      <c r="A71">
        <v>10</v>
      </c>
      <c r="B71" t="s">
        <v>11</v>
      </c>
      <c r="C71" s="1">
        <v>1024</v>
      </c>
      <c r="D71" s="1"/>
      <c r="E71" s="1">
        <f>IF(D71="","",D71-C71)</f>
      </c>
      <c r="F71" s="2">
        <f>IF(OR(D71="",C71=0),"",D71/C71)</f>
      </c>
    </row>
    <row r="72" spans="1:6" x14ac:dyDescent="0.25">
      <c r="A72">
        <v>11</v>
      </c>
      <c r="B72" t="s">
        <v>11</v>
      </c>
      <c r="C72" s="1">
        <v>1056</v>
      </c>
      <c r="D72" s="1"/>
      <c r="E72" s="1">
        <f>IF(D72="","",D72-C72)</f>
      </c>
      <c r="F72" s="2">
        <f>IF(OR(D72="",C72=0),"",D72/C72)</f>
      </c>
    </row>
    <row r="73" spans="1:6" x14ac:dyDescent="0.25">
      <c r="A73">
        <v>12</v>
      </c>
      <c r="B73" t="s">
        <v>11</v>
      </c>
      <c r="C73" s="1">
        <v>1100</v>
      </c>
      <c r="D73" s="1"/>
      <c r="E73" s="1">
        <f>IF(D73="","",D73-C73)</f>
      </c>
      <c r="F73" s="2">
        <f>IF(OR(D73="",C73=0),"",D73/C73)</f>
      </c>
    </row>
  </sheetData>
  <autoFilter ref="A1:F73"/>
  <conditionalFormatting sqref="F2:F73">
    <cfRule type="cellIs" dxfId="0" priority="1" operator="greaterThan">
      <formula>1.1</formula>
    </cfRule>
    <cfRule type="cellIs" dxfId="1" priority="2" operator="lessThan">
      <formula>0.85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12</v>
      </c>
    </row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LEARNMORE-DATA (données synthétiques)</dc:creator>
  <dc:title/>
  <dc:subject/>
  <dc:description/>
  <cp:keywords/>
  <cp:category/>
  <cp:lastModifiedBy>Unknown</cp:lastModifiedBy>
  <dcterms:created xsi:type="dcterms:W3CDTF">2026-10-28T06:07:50Z</dcterms:created>
  <dcterms:modified xsi:type="dcterms:W3CDTF">2026-10-28T06:07:50Z</dcterms:modified>
</cp:coreProperties>
</file>